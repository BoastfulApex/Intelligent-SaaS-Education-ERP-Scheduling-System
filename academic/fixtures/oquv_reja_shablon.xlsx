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vAdmin\OneDrive\Documents\temp\Дастурлар\"/>
    </mc:Choice>
  </mc:AlternateContent>
  <bookViews>
    <workbookView xWindow="0" yWindow="0" windowWidth="16605" windowHeight="12300"/>
  </bookViews>
  <sheets>
    <sheet name="Ўқув ва спорт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2" l="1"/>
  <c r="E12" i="2"/>
  <c r="H12" i="2"/>
  <c r="I12" i="2"/>
  <c r="J12" i="2"/>
  <c r="K12" i="2"/>
  <c r="D6" i="2"/>
  <c r="C18" i="2"/>
  <c r="E6" i="2"/>
  <c r="H6" i="2"/>
  <c r="I6" i="2"/>
  <c r="K6" i="2"/>
  <c r="C11" i="2"/>
  <c r="C12" i="2" l="1"/>
  <c r="C6" i="2"/>
  <c r="K21" i="2" l="1"/>
  <c r="E2" i="2"/>
  <c r="D2" i="2"/>
  <c r="G21" i="2" l="1"/>
  <c r="C10" i="2"/>
  <c r="C9" i="2"/>
  <c r="C8" i="2"/>
  <c r="C7" i="2"/>
  <c r="C5" i="2"/>
  <c r="C4" i="2"/>
  <c r="C3" i="2"/>
  <c r="I2" i="2"/>
  <c r="H2" i="2"/>
  <c r="H21" i="2" l="1"/>
  <c r="I21" i="2"/>
  <c r="J21" i="2"/>
  <c r="C2" i="2"/>
  <c r="C21" i="2" s="1"/>
  <c r="E21" i="2"/>
  <c r="C13" i="2"/>
  <c r="C14" i="2"/>
  <c r="C15" i="2"/>
  <c r="C16" i="2"/>
  <c r="C17" i="2"/>
  <c r="D21" i="2"/>
</calcChain>
</file>

<file path=xl/sharedStrings.xml><?xml version="1.0" encoding="utf-8"?>
<sst xmlns="http://schemas.openxmlformats.org/spreadsheetml/2006/main" count="50" uniqueCount="50">
  <si>
    <t>T/r</t>
  </si>
  <si>
    <t>Bloklar va o‘quv modullari nomi</t>
  </si>
  <si>
    <t>Jami</t>
  </si>
  <si>
    <t>Nazariy</t>
  </si>
  <si>
    <t>Amaliy</t>
  </si>
  <si>
    <t>I</t>
  </si>
  <si>
    <t>II</t>
  </si>
  <si>
    <t>III</t>
  </si>
  <si>
    <t>IV</t>
  </si>
  <si>
    <t>I.</t>
  </si>
  <si>
    <t>Umumiy tayyorgarlik</t>
  </si>
  <si>
    <t>1.1.</t>
  </si>
  <si>
    <t>1.2.</t>
  </si>
  <si>
    <t>1.3.</t>
  </si>
  <si>
    <t>II.</t>
  </si>
  <si>
    <t>Umumkasbiy tayyorgarlik</t>
  </si>
  <si>
    <t>2.1.</t>
  </si>
  <si>
    <t>2.2.</t>
  </si>
  <si>
    <t>2.3.</t>
  </si>
  <si>
    <t>2.4.</t>
  </si>
  <si>
    <t>III.</t>
  </si>
  <si>
    <t>Mutaxassislik bo‘yicha tayyorgarlik</t>
  </si>
  <si>
    <t>3.1.</t>
  </si>
  <si>
    <t>3.5.</t>
  </si>
  <si>
    <t>3.6.</t>
  </si>
  <si>
    <t>3.3.</t>
  </si>
  <si>
    <t>3.4.</t>
  </si>
  <si>
    <t>IV.</t>
  </si>
  <si>
    <t>4.1.</t>
  </si>
  <si>
    <t>Jami:</t>
  </si>
  <si>
    <t>Ko‘chma mashg‘ulot</t>
  </si>
  <si>
    <t>Mustaqil
tayyorgarlik</t>
  </si>
  <si>
    <t>Маlakaviy attestatsiya</t>
  </si>
  <si>
    <t xml:space="preserve">Yangi O‘zbekiston strategiyasi  </t>
  </si>
  <si>
    <t>Sport ta’limini tashkil etishning normativ-huquqiy hujjatlari</t>
  </si>
  <si>
    <t>Amaliy xorijiy tilni o‘rganishning intensiv usullari</t>
  </si>
  <si>
    <t>Sport mashg‘uloti nazariyasi va uslubiyati</t>
  </si>
  <si>
    <t>Sportda axborot-kommunikatsiya texnologiyalari</t>
  </si>
  <si>
    <t>Sport psixologiyasi</t>
  </si>
  <si>
    <t>Sport pedagogikasi</t>
  </si>
  <si>
    <t>Jismoniy harakatlar biomexanikasi</t>
  </si>
  <si>
    <t>2.5.</t>
  </si>
  <si>
    <t>Umumiy psixologiya</t>
  </si>
  <si>
    <t xml:space="preserve">Sportda ijtimoiy psixologiya  </t>
  </si>
  <si>
    <t>Sport psixodiagnostikasi</t>
  </si>
  <si>
    <t>Konsultativ psixologiya va psixokorreksiya</t>
  </si>
  <si>
    <t>Sport morfologiyasi</t>
  </si>
  <si>
    <t>Yosh davrlari psixologiyasi</t>
  </si>
  <si>
    <t>Yakuniy test sinovlari</t>
  </si>
  <si>
    <t>3.2.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</si>
</sst>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C00000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justify" vertical="center"/>
    </xf>
    <xf numFmtId="0" fontId="5" fillId="0" borderId="13" xfId="0" applyFont="1" applyBorder="1" applyAlignment="1">
      <alignment horizontal="justify" vertical="center" wrapText="1"/>
    </xf>
    <xf numFmtId="0" fontId="5" fillId="0" borderId="13" xfId="0" applyFont="1" applyBorder="1" applyAlignment="1">
      <alignment horizontal="justify" vertical="center"/>
    </xf>
    <xf numFmtId="0" fontId="5" fillId="0" borderId="13" xfId="0" applyFont="1" applyBorder="1" applyAlignment="1">
      <alignment horizontal="left" vertical="center"/>
    </xf>
    <xf numFmtId="0" fontId="4" fillId="0" borderId="28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4" fillId="0" borderId="10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28" xfId="0" applyFont="1" applyBorder="1" applyAlignment="1">
      <alignment horizontal="center" vertical="center"/>
    </xf>
    <xf numFmtId="0" fontId="5" fillId="0" borderId="14" xfId="0" applyFont="1" applyBorder="1" applyAlignment="1">
      <alignment horizontal="justify" vertical="center"/>
    </xf>
    <xf numFmtId="0" fontId="5" fillId="0" borderId="12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justify" vertical="center" wrapText="1"/>
    </xf>
    <xf numFmtId="0" fontId="5" fillId="0" borderId="28" xfId="0" applyFont="1" applyBorder="1" applyAlignment="1">
      <alignment horizontal="left" vertical="center"/>
    </xf>
    <xf numFmtId="0" fontId="6" fillId="0" borderId="18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view="pageBreakPreview" zoomScaleNormal="100" zoomScaleSheetLayoutView="100" workbookViewId="0">
      <selection activeCell="K1" sqref="K1"/>
    </sheetView>
  </sheetViews>
  <sheetFormatPr defaultColWidth="9.140625" defaultRowHeight="12.75" x14ac:dyDescent="0.25"/>
  <cols>
    <col min="1" max="1" width="4.140625" style="1" customWidth="1"/>
    <col min="2" max="2" width="51.7109375" style="2" bestFit="1" customWidth="1"/>
    <col min="3" max="7" width="16.5703125" style="2" customWidth="1"/>
    <col min="8" max="8" width="13.28515625" style="2" customWidth="1"/>
    <col min="9" max="10" width="5.85546875" style="2" customWidth="1"/>
    <col min="11" max="11" width="6.5703125" style="2" customWidth="1"/>
    <col min="12" max="16384" width="9.140625" style="2"/>
  </cols>
  <sheetData>
    <row r="1" spans="1:11" ht="54.75" customHeight="1" thickBot="1" x14ac:dyDescent="0.3">
      <c r="A1" s="50" t="s">
        <v>0</v>
      </c>
      <c r="B1" s="49" t="s">
        <v>1</v>
      </c>
      <c r="C1" s="56" t="s">
        <v>2</v>
      </c>
      <c r="D1" s="56" t="s">
        <v>3</v>
      </c>
      <c r="E1" s="56" t="s">
        <v>4</v>
      </c>
      <c r="F1" s="56" t="s">
        <v>30</v>
      </c>
      <c r="G1" s="57" t="s">
        <v>31</v>
      </c>
      <c r="H1" s="39" t="s">
        <v>5</v>
      </c>
      <c r="I1" s="4" t="s">
        <v>6</v>
      </c>
      <c r="J1" s="5" t="s">
        <v>7</v>
      </c>
      <c r="K1" s="4" t="s">
        <v>8</v>
      </c>
    </row>
    <row r="2" spans="1:11" s="3" customFormat="1" ht="25.5" customHeight="1" thickBot="1" x14ac:dyDescent="0.3">
      <c r="A2" s="4" t="s">
        <v>9</v>
      </c>
      <c r="B2" s="51" t="s">
        <v>10</v>
      </c>
      <c r="C2" s="4">
        <f>D2+E2+F2+G2</f>
        <v>18</v>
      </c>
      <c r="D2" s="32">
        <f>D3+D4+D5</f>
        <v>12</v>
      </c>
      <c r="E2" s="32">
        <f>E3+E4+E5</f>
        <v>6</v>
      </c>
      <c r="F2" s="32"/>
      <c r="G2" s="32"/>
      <c r="H2" s="32">
        <f>H3+H4+H5</f>
        <v>12</v>
      </c>
      <c r="I2" s="32">
        <f t="shared" ref="I2" si="0">I3+I4+I5</f>
        <v>6</v>
      </c>
      <c r="J2" s="32"/>
      <c r="K2" s="32"/>
    </row>
    <row r="3" spans="1:11" ht="30.75" customHeight="1" x14ac:dyDescent="0.25">
      <c r="A3" s="25" t="s">
        <v>11</v>
      </c>
      <c r="B3" s="43" t="s">
        <v>33</v>
      </c>
      <c r="C3" s="35">
        <f t="shared" ref="C3:C16" si="1">D3+E3+F3+G3</f>
        <v>4</v>
      </c>
      <c r="D3" s="29">
        <v>4</v>
      </c>
      <c r="E3" s="7"/>
      <c r="F3" s="8"/>
      <c r="G3" s="9"/>
      <c r="H3" s="9">
        <v>4</v>
      </c>
      <c r="I3" s="9"/>
      <c r="J3" s="9"/>
      <c r="K3" s="10"/>
    </row>
    <row r="4" spans="1:11" ht="30.75" customHeight="1" x14ac:dyDescent="0.25">
      <c r="A4" s="26" t="s">
        <v>12</v>
      </c>
      <c r="B4" s="44" t="s">
        <v>34</v>
      </c>
      <c r="C4" s="36">
        <f t="shared" si="1"/>
        <v>8</v>
      </c>
      <c r="D4" s="30">
        <v>8</v>
      </c>
      <c r="E4" s="11"/>
      <c r="F4" s="12"/>
      <c r="G4" s="13"/>
      <c r="H4" s="13">
        <v>8</v>
      </c>
      <c r="I4" s="13"/>
      <c r="J4" s="13"/>
      <c r="K4" s="14"/>
    </row>
    <row r="5" spans="1:11" ht="30.75" customHeight="1" thickBot="1" x14ac:dyDescent="0.3">
      <c r="A5" s="27" t="s">
        <v>13</v>
      </c>
      <c r="B5" s="52" t="s">
        <v>35</v>
      </c>
      <c r="C5" s="37">
        <f t="shared" si="1"/>
        <v>6</v>
      </c>
      <c r="D5" s="31"/>
      <c r="E5" s="15">
        <v>6</v>
      </c>
      <c r="F5" s="16"/>
      <c r="G5" s="17"/>
      <c r="H5" s="17"/>
      <c r="I5" s="17">
        <v>6</v>
      </c>
      <c r="J5" s="17"/>
      <c r="K5" s="18"/>
    </row>
    <row r="6" spans="1:11" s="3" customFormat="1" ht="25.5" customHeight="1" thickBot="1" x14ac:dyDescent="0.3">
      <c r="A6" s="4" t="s">
        <v>14</v>
      </c>
      <c r="B6" s="51" t="s">
        <v>15</v>
      </c>
      <c r="C6" s="4">
        <f>D6+E6+F6+G6</f>
        <v>52</v>
      </c>
      <c r="D6" s="32">
        <f>D7+D8+D9+D10+D11</f>
        <v>26</v>
      </c>
      <c r="E6" s="32">
        <f t="shared" ref="E6:K6" si="2">E7+E8+E9+E10+E11</f>
        <v>26</v>
      </c>
      <c r="F6" s="32"/>
      <c r="G6" s="32"/>
      <c r="H6" s="32">
        <f t="shared" si="2"/>
        <v>20</v>
      </c>
      <c r="I6" s="32">
        <f t="shared" si="2"/>
        <v>10</v>
      </c>
      <c r="J6" s="32"/>
      <c r="K6" s="32">
        <f t="shared" si="2"/>
        <v>22</v>
      </c>
    </row>
    <row r="7" spans="1:11" ht="23.25" customHeight="1" x14ac:dyDescent="0.25">
      <c r="A7" s="25" t="s">
        <v>16</v>
      </c>
      <c r="B7" s="53" t="s">
        <v>39</v>
      </c>
      <c r="C7" s="38">
        <f t="shared" si="1"/>
        <v>10</v>
      </c>
      <c r="D7" s="29">
        <v>6</v>
      </c>
      <c r="E7" s="6">
        <v>4</v>
      </c>
      <c r="F7" s="8"/>
      <c r="G7" s="9"/>
      <c r="H7" s="9"/>
      <c r="I7" s="9"/>
      <c r="J7" s="9"/>
      <c r="K7" s="10">
        <v>10</v>
      </c>
    </row>
    <row r="8" spans="1:11" ht="23.25" customHeight="1" x14ac:dyDescent="0.25">
      <c r="A8" s="26" t="s">
        <v>17</v>
      </c>
      <c r="B8" s="44" t="s">
        <v>36</v>
      </c>
      <c r="C8" s="36">
        <f t="shared" si="1"/>
        <v>12</v>
      </c>
      <c r="D8" s="33">
        <v>8</v>
      </c>
      <c r="E8" s="19">
        <v>4</v>
      </c>
      <c r="F8" s="12"/>
      <c r="G8" s="13"/>
      <c r="H8" s="13"/>
      <c r="I8" s="13"/>
      <c r="J8" s="13"/>
      <c r="K8" s="14">
        <v>12</v>
      </c>
    </row>
    <row r="9" spans="1:11" ht="23.25" customHeight="1" x14ac:dyDescent="0.25">
      <c r="A9" s="26" t="s">
        <v>18</v>
      </c>
      <c r="B9" s="44" t="s">
        <v>37</v>
      </c>
      <c r="C9" s="36">
        <f t="shared" si="1"/>
        <v>10</v>
      </c>
      <c r="D9" s="33"/>
      <c r="E9" s="19">
        <v>10</v>
      </c>
      <c r="F9" s="12"/>
      <c r="G9" s="13"/>
      <c r="H9" s="13">
        <v>6</v>
      </c>
      <c r="I9" s="13">
        <v>4</v>
      </c>
      <c r="J9" s="13"/>
      <c r="K9" s="14"/>
    </row>
    <row r="10" spans="1:11" ht="23.25" customHeight="1" x14ac:dyDescent="0.25">
      <c r="A10" s="26" t="s">
        <v>19</v>
      </c>
      <c r="B10" s="44" t="s">
        <v>40</v>
      </c>
      <c r="C10" s="36">
        <f t="shared" si="1"/>
        <v>12</v>
      </c>
      <c r="D10" s="33">
        <v>6</v>
      </c>
      <c r="E10" s="19">
        <v>6</v>
      </c>
      <c r="F10" s="12"/>
      <c r="G10" s="13"/>
      <c r="H10" s="13">
        <v>6</v>
      </c>
      <c r="I10" s="13">
        <v>6</v>
      </c>
      <c r="J10" s="13"/>
      <c r="K10" s="14"/>
    </row>
    <row r="11" spans="1:11" ht="23.25" customHeight="1" thickBot="1" x14ac:dyDescent="0.3">
      <c r="A11" s="26" t="s">
        <v>41</v>
      </c>
      <c r="B11" s="54" t="s">
        <v>46</v>
      </c>
      <c r="C11" s="36">
        <f t="shared" si="1"/>
        <v>8</v>
      </c>
      <c r="D11" s="41">
        <v>6</v>
      </c>
      <c r="E11" s="15">
        <v>2</v>
      </c>
      <c r="F11" s="17"/>
      <c r="G11" s="17"/>
      <c r="H11" s="17">
        <v>8</v>
      </c>
      <c r="I11" s="17"/>
      <c r="J11" s="17"/>
      <c r="K11" s="17"/>
    </row>
    <row r="12" spans="1:11" s="3" customFormat="1" ht="23.25" customHeight="1" thickBot="1" x14ac:dyDescent="0.3">
      <c r="A12" s="4" t="s">
        <v>20</v>
      </c>
      <c r="B12" s="51" t="s">
        <v>21</v>
      </c>
      <c r="C12" s="4">
        <f>D12+E12+F12+G12</f>
        <v>72</v>
      </c>
      <c r="D12" s="32">
        <f>D13+D14+D15+D16+D17+D18</f>
        <v>40</v>
      </c>
      <c r="E12" s="32">
        <f>E13+E14+E15+E16+E17+E18</f>
        <v>32</v>
      </c>
      <c r="F12" s="32"/>
      <c r="G12" s="32"/>
      <c r="H12" s="32">
        <f>H13+H14+H15+H16+H17+H18</f>
        <v>4</v>
      </c>
      <c r="I12" s="32">
        <f>I13+I14+I15+I16+I17+I18</f>
        <v>20</v>
      </c>
      <c r="J12" s="32">
        <f>J13+J14+J15+J16+J17+J18</f>
        <v>36</v>
      </c>
      <c r="K12" s="32">
        <f>K13+K14+K15+K16+K17+K18</f>
        <v>12</v>
      </c>
    </row>
    <row r="13" spans="1:11" ht="27.75" customHeight="1" x14ac:dyDescent="0.25">
      <c r="A13" s="25" t="s">
        <v>22</v>
      </c>
      <c r="B13" s="43" t="s">
        <v>42</v>
      </c>
      <c r="C13" s="35">
        <f>D13+E13+F13+G13</f>
        <v>16</v>
      </c>
      <c r="D13" s="29">
        <v>10</v>
      </c>
      <c r="E13" s="20">
        <v>6</v>
      </c>
      <c r="F13" s="8"/>
      <c r="G13" s="9"/>
      <c r="H13" s="9"/>
      <c r="I13" s="9">
        <v>10</v>
      </c>
      <c r="J13" s="9">
        <v>6</v>
      </c>
      <c r="K13" s="10"/>
    </row>
    <row r="14" spans="1:11" ht="27.75" customHeight="1" x14ac:dyDescent="0.25">
      <c r="A14" s="26" t="s">
        <v>49</v>
      </c>
      <c r="B14" s="45" t="s">
        <v>43</v>
      </c>
      <c r="C14" s="36">
        <f t="shared" si="1"/>
        <v>10</v>
      </c>
      <c r="D14" s="33">
        <v>8</v>
      </c>
      <c r="E14" s="11">
        <v>2</v>
      </c>
      <c r="F14" s="12"/>
      <c r="G14" s="13"/>
      <c r="H14" s="13"/>
      <c r="I14" s="13"/>
      <c r="J14" s="13">
        <v>8</v>
      </c>
      <c r="K14" s="14">
        <v>2</v>
      </c>
    </row>
    <row r="15" spans="1:11" ht="27.75" customHeight="1" x14ac:dyDescent="0.25">
      <c r="A15" s="26" t="s">
        <v>25</v>
      </c>
      <c r="B15" s="45" t="s">
        <v>47</v>
      </c>
      <c r="C15" s="36">
        <f t="shared" si="1"/>
        <v>14</v>
      </c>
      <c r="D15" s="33">
        <v>6</v>
      </c>
      <c r="E15" s="11">
        <v>8</v>
      </c>
      <c r="F15" s="12"/>
      <c r="G15" s="13"/>
      <c r="H15" s="13">
        <v>4</v>
      </c>
      <c r="I15" s="13">
        <v>6</v>
      </c>
      <c r="J15" s="13">
        <v>4</v>
      </c>
      <c r="K15" s="14"/>
    </row>
    <row r="16" spans="1:11" ht="27.75" customHeight="1" x14ac:dyDescent="0.25">
      <c r="A16" s="26" t="s">
        <v>26</v>
      </c>
      <c r="B16" s="45" t="s">
        <v>38</v>
      </c>
      <c r="C16" s="36">
        <f t="shared" si="1"/>
        <v>10</v>
      </c>
      <c r="D16" s="33">
        <v>6</v>
      </c>
      <c r="E16" s="11">
        <v>4</v>
      </c>
      <c r="F16" s="12"/>
      <c r="G16" s="13"/>
      <c r="H16" s="13"/>
      <c r="I16" s="13">
        <v>4</v>
      </c>
      <c r="J16" s="13">
        <v>6</v>
      </c>
      <c r="K16" s="14"/>
    </row>
    <row r="17" spans="1:11" ht="27.75" customHeight="1" x14ac:dyDescent="0.25">
      <c r="A17" s="26" t="s">
        <v>23</v>
      </c>
      <c r="B17" s="46" t="s">
        <v>44</v>
      </c>
      <c r="C17" s="36">
        <f>D17+E17+F17+G17</f>
        <v>12</v>
      </c>
      <c r="D17" s="33">
        <v>4</v>
      </c>
      <c r="E17" s="11">
        <v>8</v>
      </c>
      <c r="F17" s="12"/>
      <c r="G17" s="13"/>
      <c r="H17" s="13"/>
      <c r="I17" s="13"/>
      <c r="J17" s="13">
        <v>6</v>
      </c>
      <c r="K17" s="14">
        <v>6</v>
      </c>
    </row>
    <row r="18" spans="1:11" ht="27.75" customHeight="1" thickBot="1" x14ac:dyDescent="0.3">
      <c r="A18" s="26" t="s">
        <v>24</v>
      </c>
      <c r="B18" s="52" t="s">
        <v>45</v>
      </c>
      <c r="C18" s="36">
        <f>D18+E18+F18+G18</f>
        <v>10</v>
      </c>
      <c r="D18" s="33">
        <v>6</v>
      </c>
      <c r="E18" s="11">
        <v>4</v>
      </c>
      <c r="F18" s="12"/>
      <c r="G18" s="13"/>
      <c r="H18" s="13"/>
      <c r="I18" s="13"/>
      <c r="J18" s="13">
        <v>6</v>
      </c>
      <c r="K18" s="14">
        <v>4</v>
      </c>
    </row>
    <row r="19" spans="1:11" s="3" customFormat="1" ht="25.5" customHeight="1" thickBot="1" x14ac:dyDescent="0.3">
      <c r="A19" s="4" t="s">
        <v>27</v>
      </c>
      <c r="B19" s="51" t="s">
        <v>32</v>
      </c>
      <c r="C19" s="4">
        <v>2</v>
      </c>
      <c r="D19" s="32"/>
      <c r="E19" s="32"/>
      <c r="F19" s="32"/>
      <c r="G19" s="32">
        <v>2</v>
      </c>
      <c r="H19" s="32"/>
      <c r="I19" s="32"/>
      <c r="J19" s="32"/>
      <c r="K19" s="32">
        <v>2</v>
      </c>
    </row>
    <row r="20" spans="1:11" ht="19.899999999999999" customHeight="1" thickBot="1" x14ac:dyDescent="0.3">
      <c r="A20" s="28" t="s">
        <v>28</v>
      </c>
      <c r="B20" s="55" t="s">
        <v>48</v>
      </c>
      <c r="C20" s="40">
        <v>2</v>
      </c>
      <c r="D20" s="34"/>
      <c r="E20" s="21"/>
      <c r="F20" s="22"/>
      <c r="G20" s="23">
        <v>2</v>
      </c>
      <c r="H20" s="23"/>
      <c r="I20" s="23"/>
      <c r="J20" s="23"/>
      <c r="K20" s="24">
        <v>2</v>
      </c>
    </row>
    <row r="21" spans="1:11" s="3" customFormat="1" ht="15.75" customHeight="1" thickBot="1" x14ac:dyDescent="0.3">
      <c r="A21" s="47" t="s">
        <v>29</v>
      </c>
      <c r="B21" s="48"/>
      <c r="C21" s="42">
        <f>C19+C12+C6+C2</f>
        <v>144</v>
      </c>
      <c r="D21" s="42">
        <f>D19+D12+D6+D2</f>
        <v>78</v>
      </c>
      <c r="E21" s="42">
        <f>E19+E12+E6+E2</f>
        <v>64</v>
      </c>
      <c r="F21" s="42"/>
      <c r="G21" s="42">
        <f>G19+G12+G6+G2</f>
        <v>2</v>
      </c>
      <c r="H21" s="42">
        <f>H19+H12+H6+H2</f>
        <v>36</v>
      </c>
      <c r="I21" s="42">
        <f>I19+I12+I6+I2</f>
        <v>36</v>
      </c>
      <c r="J21" s="42">
        <f>J19+J12+J6+J2</f>
        <v>36</v>
      </c>
      <c r="K21" s="42">
        <f>K19+K12+K6+K2</f>
        <v>36</v>
      </c>
    </row>
  </sheetData>
  <mergeCells count="1">
    <mergeCell ref="A21:B21"/>
  </mergeCells>
  <printOptions horizontalCentered="1"/>
  <pageMargins left="0" right="0" top="0.15748031496062992" bottom="0" header="0.11811023622047245" footer="0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Ўқув ва спорт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XTECH</dc:creator>
  <cp:lastModifiedBy>DevAdmin</cp:lastModifiedBy>
  <cp:lastPrinted>2024-01-19T15:24:46Z</cp:lastPrinted>
  <dcterms:created xsi:type="dcterms:W3CDTF">2015-06-05T18:17:20Z</dcterms:created>
  <dcterms:modified xsi:type="dcterms:W3CDTF">2026-05-04T12:29:06Z</dcterms:modified>
</cp:coreProperties>
</file>